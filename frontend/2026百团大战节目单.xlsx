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D:\Desktop\社联\2026百团大战\"/>
  <bookViews>
    <workbookView activeTab="0"/>
  </bookViews>
  <sheets>
    <sheet name="演出时间表" sheetId="1" r:id="rId3"/>
    <sheet name=" 物资需求" sheetId="2" r:id="rId4"/>
    <sheet name="节目单" sheetId="3" r:id="rId5"/>
    <sheet name="总时长对比" sheetId="4" state="hidden" r:id="rId6"/>
  </sheets>
  <calcPr calcId="191029"/>
</workbook>
</file>

<file path=xl/sharedStrings.xml><?xml version="1.0" encoding="utf-8"?>
<sst xmlns="http://schemas.openxmlformats.org/spreadsheetml/2006/main" count="166" uniqueCount="166">
  <si>
    <t/>
  </si>
  <si>
    <t>2026百团大战演出时间表（15:00 开场）</t>
  </si>
  <si>
    <t>序号</t>
  </si>
  <si>
    <t>开始时间</t>
  </si>
  <si>
    <t>结束时间</t>
  </si>
  <si>
    <t>节目名称</t>
  </si>
  <si>
    <t>节目类型</t>
  </si>
  <si>
    <t>时长</t>
  </si>
  <si>
    <t>所属社团</t>
  </si>
  <si>
    <t>表演者（人数）</t>
  </si>
  <si>
    <t>负责人</t>
  </si>
  <si>
    <t>联系方式</t>
  </si>
  <si>
    <t>henceforth</t>
  </si>
  <si>
    <t>乐队</t>
  </si>
  <si>
    <t>漫研社乐队</t>
  </si>
  <si>
    <t>（5人）</t>
  </si>
  <si>
    <t>杨知雨</t>
  </si>
  <si>
    <t>17774584560</t>
  </si>
  <si>
    <t>夜明与萤火虫</t>
  </si>
  <si>
    <t>lostone的号哭</t>
  </si>
  <si>
    <t>心做し</t>
  </si>
  <si>
    <t>中场休息（10分钟）</t>
  </si>
  <si>
    <t>smooth criminal</t>
  </si>
  <si>
    <t>Urban</t>
  </si>
  <si>
    <t>精舞团</t>
  </si>
  <si>
    <t>肖维姿（8人）</t>
  </si>
  <si>
    <t>王子畅 徐思奕</t>
  </si>
  <si>
    <t>微信</t>
  </si>
  <si>
    <t>steady</t>
  </si>
  <si>
    <t>4fun</t>
  </si>
  <si>
    <t>林煜棋（6人）</t>
  </si>
  <si>
    <t>he said she said</t>
  </si>
  <si>
    <t>Jazz</t>
  </si>
  <si>
    <t>陈子钰（8人）</t>
  </si>
  <si>
    <t>La La La</t>
  </si>
  <si>
    <t>Breaking</t>
  </si>
  <si>
    <t>邹高骏/江哲宇（5人，暂定）</t>
  </si>
  <si>
    <t>slolove</t>
  </si>
  <si>
    <t>locking</t>
  </si>
  <si>
    <t>梁语芯（2人）</t>
  </si>
  <si>
    <t>Street Echo</t>
  </si>
  <si>
    <t>hiphop</t>
  </si>
  <si>
    <t>王子畅（6人）</t>
  </si>
  <si>
    <t>三山引梦+山鬼</t>
  </si>
  <si>
    <t>中国舞</t>
  </si>
  <si>
    <t>何雨茜（4人）</t>
  </si>
  <si>
    <t>sugar+superwoman</t>
  </si>
  <si>
    <t>国标</t>
  </si>
  <si>
    <t>陈钰儿/黄徕美（2人，暂定）</t>
  </si>
  <si>
    <t>flicker</t>
  </si>
  <si>
    <t>Popping</t>
  </si>
  <si>
    <t>王优璇（3人）</t>
  </si>
  <si>
    <t>睡美人奥罗拉变奏三幕</t>
  </si>
  <si>
    <t>芭蕾</t>
  </si>
  <si>
    <t>Winona（5人）</t>
  </si>
  <si>
    <t>it's gonna be hard</t>
  </si>
  <si>
    <t>denim92</t>
  </si>
  <si>
    <t>cheryn（9人）</t>
  </si>
  <si>
    <t>中场休息（5分钟）</t>
  </si>
  <si>
    <t>You will be found</t>
  </si>
  <si>
    <t>音乐剧</t>
  </si>
  <si>
    <t>音乐剧社</t>
  </si>
  <si>
    <t>（9人）</t>
  </si>
  <si>
    <t>严心翎</t>
  </si>
  <si>
    <t>答案</t>
  </si>
  <si>
    <t>（2人）</t>
  </si>
  <si>
    <t>this world will remember us</t>
  </si>
  <si>
    <t>waiting for life</t>
  </si>
  <si>
    <t>（1人）</t>
  </si>
  <si>
    <t>seasons of love</t>
  </si>
  <si>
    <t>（12人）</t>
  </si>
  <si>
    <t>never fiction</t>
  </si>
  <si>
    <t>宅舞</t>
  </si>
  <si>
    <t>漫研社宅舞</t>
  </si>
  <si>
    <t>阚舒天</t>
  </si>
  <si>
    <t>18121341671</t>
  </si>
  <si>
    <t>numb numb</t>
  </si>
  <si>
    <t>罗密欧与辛德瑞拉</t>
  </si>
  <si>
    <t>beyond the way</t>
  </si>
  <si>
    <t>随心所欲mercy</t>
  </si>
  <si>
    <t>几分之几</t>
  </si>
  <si>
    <t>单人独唱</t>
  </si>
  <si>
    <t>聚乐部</t>
  </si>
  <si>
    <t>徐心拓 （1人）13141890032</t>
  </si>
  <si>
    <t>孙逸松</t>
  </si>
  <si>
    <t>文城+trust me</t>
  </si>
  <si>
    <t>歌曲串烧</t>
  </si>
  <si>
    <t>hiphop音乐社</t>
  </si>
  <si>
    <t>（3人）</t>
  </si>
  <si>
    <t>夏诗涵</t>
  </si>
  <si>
    <t>18640130988</t>
  </si>
  <si>
    <t>精舞团随舞（自由互动）</t>
  </si>
  <si>
    <t>随舞</t>
  </si>
  <si>
    <t>（全体）</t>
  </si>
  <si>
    <t>注：① 各社团开始/结束时间均取整5分钟并预留宽裕余量，节目在社团时段内按实际时长衔接；② 漫研社乐队后休息10分钟，其余社团间休息5分钟，hiphop后直接进入精舞团随舞；③ 主持人报幕约10秒/节目未单独列时，已含在各社团宽裕余量内；④ 预计18:00结束，时间可控。</t>
  </si>
  <si>
    <t>2026百团大战节目单</t>
  </si>
  <si>
    <t>节目时长</t>
  </si>
  <si>
    <t>表演者（表演人数）</t>
  </si>
  <si>
    <t>社团负责人</t>
  </si>
  <si>
    <t>聚乐部 小计</t>
  </si>
  <si>
    <t>漫研社宅舞 小计</t>
  </si>
  <si>
    <t>漫研社乐队 小计</t>
  </si>
  <si>
    <t>音乐剧社 小计</t>
  </si>
  <si>
    <t>精舞团 小计</t>
  </si>
  <si>
    <t>hiphop音乐社 小计</t>
  </si>
  <si>
    <t>全部节目 合计</t>
  </si>
  <si>
    <t>各社团节目汇总（2026百团大战）</t>
  </si>
  <si>
    <t>节目数</t>
  </si>
  <si>
    <t>总时长（分:秒）</t>
  </si>
  <si>
    <t>总时长（分钟）</t>
  </si>
  <si>
    <t>没有</t>
  </si>
  <si>
    <t>15626066920</t>
  </si>
  <si>
    <t>合计</t>
  </si>
  <si>
    <t>注：节目时长为各社团上报口径，总时长按 分:秒 累计；聚乐部未指定社团负责人，节目单明细中联系方式为对应节目表演者本人电话；精舞团《La La La》《sugar+superwoman》人数为暂定；漫研社宅舞/乐队、音乐剧社未提供表演者姓名。</t>
  </si>
  <si>
    <t>二重身</t>
  </si>
  <si>
    <t>15:00-15:20 凤凰漫研社乐队</t>
  </si>
  <si>
    <t>15:30-16:05 精舞团</t>
  </si>
  <si>
    <t>16:10-16:35 Encore音乐剧社</t>
  </si>
  <si>
    <t>16:40-16:55 凤凰漫研社宅舞</t>
  </si>
  <si>
    <t>17:00-17:05 聚乐部</t>
  </si>
  <si>
    <t>17:10-17:20 hiphop音乐社</t>
  </si>
  <si>
    <t>17:20-18:00 精舞团随舞</t>
  </si>
  <si>
    <t xml:space="preserve">15:00-15:20 </t>
  </si>
  <si>
    <t>凤凰漫研社乐队</t>
  </si>
  <si>
    <t xml:space="preserve">15:30-16:05 </t>
  </si>
  <si>
    <t xml:space="preserve">16:10-16:35 </t>
  </si>
  <si>
    <t>Encore音乐剧社</t>
  </si>
  <si>
    <t xml:space="preserve">16:40-16:55 </t>
  </si>
  <si>
    <t>凤凰漫研社宅舞</t>
  </si>
  <si>
    <t xml:space="preserve">17:00-17:05 </t>
  </si>
  <si>
    <t xml:space="preserve">17:10-17:20 </t>
  </si>
  <si>
    <t>17:20-18:00</t>
  </si>
  <si>
    <t xml:space="preserve"> 精舞团随舞</t>
  </si>
  <si>
    <t>精舞团随舞</t>
  </si>
  <si>
    <t>正式表演时间</t>
  </si>
  <si>
    <t>正式表演时间（9.19）</t>
  </si>
  <si>
    <t>正式表演时间
（9.19）</t>
  </si>
  <si>
    <t>社团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</si>
  <si>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</si>
  <si>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</si>
  <si>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</si>
  <si>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</si>
  <si>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</si>
  <si>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</si>
  <si>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</si>
  <si>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</si>
  <si>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</si>
  <si>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</si>
  <si>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</si>
  <si>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</si>
  <si>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</si>
  <si>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</si>
  <si>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</si>
  <si>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</si>
  <si>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</si>
  <si>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</si>
  <si>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</si>
  <si>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</si>
  <si>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</si>
  <si>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</si>
  <si>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</si>
  <si>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</si>
  <si>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节目需求
（如音箱、耳麦、手持麦以及特殊需求）</t>
  </si>
  <si>
    <t>节目需求（如音箱、耳麦、手持麦以及特殊需求）</t>
  </si>
  <si>
    <t>节目需求（如音箱、耳麦、手持麦、接线以及特殊需求）</t>
  </si>
  <si>
    <t>备注</t>
  </si>
</sst>
</file>

<file path=xl/styles.xml><?xml version="1.0" encoding="utf-8"?>
<styleSheet xmlns="http://schemas.openxmlformats.org/spreadsheetml/2006/main">
  <numFmts count="4">
    <numFmt numFmtId="300" formatCode="hh:mm"/>
    <numFmt numFmtId="301" formatCode="[mm]:ss"/>
    <numFmt numFmtId="302" formatCode="0.0"/>
    <numFmt numFmtId="303" formatCode="General"/>
  </numFmts>
  <fonts count="14">
    <font>
      <name val="宋体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family val="2"/>
      <b val="1"/>
      <color rgb="FFFFFFFF"/>
      <sz val="14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sz val="11"/>
    </font>
    <font>
      <name val="微软雅黑"/>
      <charset val="134"/>
      <family val="2"/>
      <i val="1"/>
      <color rgb="FF808080"/>
      <sz val="11"/>
    </font>
    <font>
      <name val="微软雅黑"/>
      <charset val="134"/>
      <family val="2"/>
      <color rgb="FF808080"/>
      <sz val="9"/>
    </font>
    <font>
      <name val="宋体"/>
      <charset val="134"/>
      <family val="3"/>
      <color rgb="FF000000"/>
      <sz val="11"/>
      <scheme val="minor"/>
    </font>
    <font>
      <name val="微软雅黑"/>
      <charset val="134"/>
      <family val="2"/>
      <color rgb="FF000000"/>
      <sz val="11"/>
    </font>
    <font>
      <name val="微软雅黑"/>
      <charset val="134"/>
      <family val="2"/>
      <b val="1"/>
      <sz val="11"/>
    </font>
    <font>
      <name val="微软雅黑"/>
      <sz val="11"/>
    </font>
    <font>
      <color rgb="FF38015C"/>
      <sz val="11"/>
    </font>
    <font>
      <name val="宋体"/>
      <family val="2"/>
      <color theme="1"/>
      <sz val="1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EEAF6"/>
      </patternFill>
    </fill>
    <fill>
      <patternFill patternType="solid">
        <fgColor rgb="FFBDD7EE"/>
      </patternFill>
    </fill>
    <fill>
      <patternFill patternType="none"/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8C7D9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</borders>
  <cellStyleXfs>
    <xf numFmtId="303" fontId="13" fillId="0" borderId="4" xfId="0"/>
  </cellStyleXfs>
  <cellXfs count="7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3" fontId="3" fillId="2" borderId="4" xfId="0" applyFont="1" applyFill="1" applyAlignment="1">
      <alignment horizontal="center" vertical="center" wrapText="1"/>
    </xf>
    <xf numFmtId="303" fontId="13" fillId="0" borderId="4" xfId="0"/>
    <xf numFmtId="303" fontId="4" fillId="2" borderId="1" xfId="0" applyFont="1" applyFill="1" applyBorder="1" applyAlignment="1">
      <alignment horizontal="center" vertical="center" wrapText="1"/>
    </xf>
    <xf numFmtId="303" fontId="5" fillId="0" borderId="1" xfId="0" applyFont="1" applyBorder="1" applyAlignment="1">
      <alignment horizontal="center" vertical="center" wrapText="1"/>
    </xf>
    <xf numFmtId="300" fontId="5" fillId="0" borderId="1" xfId="0" applyNumberFormat="1" applyFont="1" applyBorder="1" applyAlignment="1">
      <alignment horizontal="center" vertical="center" wrapText="1"/>
    </xf>
    <xf numFmtId="303" fontId="5" fillId="0" borderId="1" xfId="0" applyFont="1" applyBorder="1" applyAlignment="1">
      <alignment horizontal="left" vertical="center" wrapText="1"/>
    </xf>
    <xf numFmtId="45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303" fontId="6" fillId="3" borderId="1" xfId="0" applyFont="1" applyFill="1" applyBorder="1" applyAlignment="1">
      <alignment horizontal="center" vertical="center" wrapText="1"/>
    </xf>
    <xf numFmtId="300" fontId="6" fillId="3" borderId="1" xfId="0" applyNumberFormat="1" applyFont="1" applyFill="1" applyBorder="1" applyAlignment="1">
      <alignment horizontal="center" vertical="center" wrapText="1"/>
    </xf>
    <xf numFmtId="303" fontId="6" fillId="3" borderId="1" xfId="0" applyFont="1" applyFill="1" applyBorder="1" applyAlignment="1">
      <alignment horizontal="left" vertical="center" wrapText="1"/>
    </xf>
    <xf numFmtId="45" fontId="6" fillId="3" borderId="1" xfId="0" applyNumberFormat="1" applyFont="1" applyFill="1" applyBorder="1" applyAlignment="1">
      <alignment horizontal="center" vertical="center" wrapText="1"/>
    </xf>
    <xf numFmtId="303" fontId="5" fillId="4" borderId="1" xfId="0" applyFont="1" applyFill="1" applyBorder="1" applyAlignment="1">
      <alignment horizontal="center" vertical="center" wrapText="1"/>
    </xf>
    <xf numFmtId="300" fontId="5" fillId="4" borderId="1" xfId="0" applyNumberFormat="1" applyFont="1" applyFill="1" applyBorder="1" applyAlignment="1">
      <alignment horizontal="center" vertical="center" wrapText="1"/>
    </xf>
    <xf numFmtId="303" fontId="5" fillId="4" borderId="1" xfId="0" applyFont="1" applyFill="1" applyBorder="1" applyAlignment="1">
      <alignment horizontal="left" vertical="center" wrapText="1"/>
    </xf>
    <xf numFmtId="45" fontId="5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left" vertical="center" wrapText="1"/>
    </xf>
    <xf numFmtId="303" fontId="7" fillId="0" borderId="4" xfId="0" applyFont="1" applyAlignment="1">
      <alignment horizontal="left" vertical="center" wrapText="1"/>
    </xf>
    <xf numFmtId="303" fontId="3" fillId="5" borderId="4" xfId="0" applyFont="1" applyFill="1" applyAlignment="1">
      <alignment horizontal="center" vertical="center"/>
    </xf>
    <xf numFmtId="303" fontId="4" fillId="2" borderId="4" xfId="0" applyFont="1" applyFill="1" applyAlignment="1">
      <alignment horizontal="center" vertical="center" wrapText="1"/>
    </xf>
    <xf numFmtId="303" fontId="8" fillId="0" borderId="4" xfId="0" applyFont="1" applyAlignment="1">
      <alignment horizontal="center" vertical="center"/>
    </xf>
    <xf numFmtId="303" fontId="9" fillId="0" borderId="4" xfId="0" applyFont="1" applyAlignment="1">
      <alignment horizontal="left" vertical="center" wrapText="1"/>
    </xf>
    <xf numFmtId="45" fontId="9" fillId="0" borderId="4" xfId="0" applyNumberFormat="1" applyFont="1" applyAlignment="1">
      <alignment horizontal="center" vertical="center"/>
    </xf>
    <xf numFmtId="49" fontId="9" fillId="0" borderId="4" xfId="0" applyNumberFormat="1" applyFont="1" applyAlignment="1">
      <alignment horizontal="center" vertical="center"/>
    </xf>
    <xf numFmtId="303" fontId="5" fillId="0" borderId="4" xfId="0" applyFont="1" applyAlignment="1">
      <alignment horizontal="left" vertical="center" wrapText="1"/>
    </xf>
    <xf numFmtId="45" fontId="5" fillId="0" borderId="4" xfId="0" applyNumberFormat="1" applyFont="1" applyAlignment="1">
      <alignment horizontal="center" vertical="center"/>
    </xf>
    <xf numFmtId="49" fontId="5" fillId="0" borderId="4" xfId="0" applyNumberFormat="1" applyFont="1" applyAlignment="1">
      <alignment horizontal="center" vertical="center"/>
    </xf>
    <xf numFmtId="303" fontId="13" fillId="6" borderId="4" xfId="0" applyFill="1"/>
    <xf numFmtId="303" fontId="10" fillId="6" borderId="2" xfId="0" applyFont="1" applyFill="1" applyBorder="1" applyAlignment="1">
      <alignment horizontal="left" vertical="center"/>
    </xf>
    <xf numFmtId="301" fontId="10" fillId="6" borderId="2" xfId="0" applyNumberFormat="1" applyFont="1" applyFill="1" applyBorder="1" applyAlignment="1">
      <alignment horizontal="center" vertical="center"/>
    </xf>
    <xf numFmtId="303" fontId="13" fillId="7" borderId="4" xfId="0" applyFill="1"/>
    <xf numFmtId="303" fontId="10" fillId="7" borderId="2" xfId="0" applyFont="1" applyFill="1" applyBorder="1" applyAlignment="1">
      <alignment horizontal="left" vertical="center"/>
    </xf>
    <xf numFmtId="301" fontId="10" fillId="7" borderId="2" xfId="0" applyNumberFormat="1" applyFont="1" applyFill="1" applyBorder="1" applyAlignment="1">
      <alignment horizontal="center" vertical="center"/>
    </xf>
    <xf numFmtId="303" fontId="5" fillId="0" borderId="4" xfId="0" applyFont="1" applyAlignment="1">
      <alignment horizontal="center" vertical="center"/>
    </xf>
    <xf numFmtId="301" fontId="5" fillId="0" borderId="4" xfId="0" applyNumberFormat="1" applyFont="1" applyAlignment="1">
      <alignment horizontal="center" vertical="center"/>
    </xf>
    <xf numFmtId="302" fontId="5" fillId="0" borderId="4" xfId="0" applyNumberFormat="1" applyFont="1" applyAlignment="1">
      <alignment horizontal="center" vertical="center"/>
    </xf>
    <xf numFmtId="49" fontId="5" fillId="0" borderId="4" xfId="0" applyNumberFormat="1" applyFont="1" applyAlignment="1">
      <alignment horizontal="left" vertical="center" wrapText="1"/>
    </xf>
    <xf numFmtId="303" fontId="10" fillId="7" borderId="2" xfId="0" applyFont="1" applyFill="1" applyBorder="1" applyAlignment="1">
      <alignment horizontal="center" vertical="center"/>
    </xf>
    <xf numFmtId="302" fontId="10" fillId="7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 wrapText="1"/>
    </xf>
    <xf numFmtId="80" fontId="5" fillId="0" borderId="1" xfId="0" applyNumberFormat="1" applyFont="1" applyBorder="1" applyAlignment="1">
      <alignment horizontal="center" vertical="center" wrapText="1"/>
    </xf>
    <xf numFmtId="0" fontId="5" fillId="0" borderId="3" xfId="0">
      <alignment horizontal="left" vertical="center" wrapText="1"/>
    </xf>
    <xf numFmtId="303" fontId="5" fillId="0" borderId="3" xfId="0" applyFont="1" applyBorder="1" applyAlignment="1">
      <alignment horizontal="center" vertical="center" wrapText="1"/>
    </xf>
    <xf numFmtId="80" fontId="5" fillId="0" borderId="3" xfId="0">
      <alignment horizontal="center" vertical="center" wrapText="1"/>
    </xf>
    <xf numFmtId="303" fontId="5" fillId="0" borderId="3" xfId="0" applyFont="1" applyBorder="1" applyAlignment="1">
      <alignment horizontal="left" vertical="center" wrapText="1"/>
    </xf>
    <xf fontId="0" fillId="0" borderId="0" xfId="0">
      <alignment horizontal="center"/>
    </xf>
    <xf fontId="0" fillId="0" borderId="0" xfId="0">
      <alignment horizontal="left"/>
    </xf>
    <xf numFmtId="303" fontId="11" fillId="0" borderId="3" xfId="0" applyFont="1" applyBorder="1" applyAlignment="1">
      <alignment horizontal="center" vertical="center" wrapText="1"/>
    </xf>
    <xf numFmtId="300" fontId="11" fillId="0" borderId="3" xfId="0" applyNumberFormat="1" applyFont="1" applyBorder="1" applyAlignment="1">
      <alignment horizontal="center" vertical="center" wrapText="1"/>
    </xf>
    <xf numFmtId="300" fontId="11" fillId="0" borderId="3" xfId="0">
      <alignment horizontal="center" vertical="center" wrapText="1"/>
    </xf>
    <xf numFmtId="0" fontId="11" fillId="0" borderId="3" xfId="0">
      <alignment horizontal="left" vertical="center" wrapText="1"/>
    </xf>
    <xf numFmtId="80" fontId="11" fillId="0" borderId="3" xfId="0">
      <alignment horizontal="center" vertical="center" wrapText="1"/>
    </xf>
    <xf numFmtId="303" fontId="11" fillId="0" borderId="3" xfId="0" applyFont="1" applyBorder="1" applyAlignment="1">
      <alignment horizontal="left" vertical="center" wrapText="1"/>
    </xf>
    <xf numFmtId="49" fontId="11" fillId="0" borderId="3" xfId="0" applyNumberFormat="1" applyFont="1" applyBorder="1" applyAlignment="1">
      <alignment horizontal="left" vertical="center" wrapText="1"/>
    </xf>
    <xf numFmtId="45" fontId="11" fillId="0" borderId="3" xfId="0" applyNumberFormat="1" applyFont="1" applyBorder="1" applyAlignment="1">
      <alignment horizontal="center" vertical="center" wrapText="1"/>
    </xf>
    <xf fontId="11" fillId="0" borderId="3" xfId="0">
      <alignment horizontal="center" vertical="center" wrapText="1"/>
    </xf>
    <xf fontId="12" fillId="0" borderId="0" xfId="0"/>
    <xf fontId="12" fillId="0" borderId="0" xfId="0"/>
    <xf numFmtId="0" fontId="0" fillId="0" borderId="0" xfId="0"/>
    <xf fontId="12" fillId="0" borderId="0" xfId="0">
      <alignment wrapText="1"/>
    </xf>
    <xf fontId="12" fillId="0" borderId="0" xfId="0">
      <alignment horizontal="center" wrapText="1"/>
    </xf>
    <xf fontId="12" fillId="0" borderId="0" xfId="0">
      <alignment horizontal="center"/>
    </xf>
    <xf numFmtId="0" fontId="0" fillId="0" borderId="0" xfId="0">
      <alignment horizontal="center"/>
    </xf>
    <xf fontId="0" fillId="0" borderId="0" xfId="0">
      <alignment wrapText="1"/>
    </xf>
    <xf fontId="0" fillId="0" borderId="0" xfId="0">
      <alignment horizontal="center" wrapText="1"/>
    </xf>
    <xf fontId="12" fillId="0" borderId="0" xfId="0">
      <alignment horizontal="center" vertical="center" wrapText="1"/>
    </xf>
    <xf fontId="0" fillId="0" borderId="0" xfId="0">
      <alignment horizontal="center" vertical="center"/>
    </xf>
    <xf fontId="0" fillId="0" borderId="0" xfId="0">
      <alignment horizontal="center" vertical="center" wrapText="1"/>
    </xf>
    <xf fontId="12" fillId="0" borderId="0" xfId="0">
      <alignment horizontal="center" vertical="center"/>
    </xf>
    <xf numFmtId="0" fontId="0" fillId="0" borderId="0" xfId="0">
      <alignment horizontal="center" vertical="center"/>
    </xf>
    <xf fontId="0" fillId="0" borderId="0" xfId="0">
      <alignment vertical="center"/>
    </xf>
  </cellXfs>
  <cellStyles>
    <cellStyle name="常规" xfId="0" builtinId="0"/>
  </cellStyles>
  <dxfs count="2">
    <dxf>
      <fill>
        <patternFill patternType="solid">
          <fgColor rgb="FFFFF3EB"/>
          <bgColor rgb="FFFFF3EB"/>
        </patternFill>
      </fill>
    </dxf>
    <dxf>
      <font>
        <b val="1"/>
        <color rgb="FFFFFFFF"/>
      </font>
      <fill>
        <patternFill patternType="solid">
          <fgColor rgb="FFF88825"/>
          <bgColor rgb="FFF88825"/>
        </patternFill>
      </fill>
    </dxf>
  </dxfs>
  <tableStyles count="1" defaultTableStyle="TableStyleMedium2" defaultPivotStyle="PivotStyleLight16">
    <tableStyle name="TENCENT_DOCS_BUILD_IN_TABLE_STYLE_COL_normal_#F88825" table="1" count="4">
      <tableStyleElement type="firstColumnStripe" dxfId="0"/>
      <tableStyleElement type="secondRowStripe" dxfId="0"/>
      <tableStyleElement type="firstColumn" dxfId="1"/>
      <tableStyleElement type="headerRow" dxfId="1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各社团节目总时长对比（分钟）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000005</c:f>
              <c:strCache>
                <c:ptCount val="1"/>
                <c:pt idx="0">
                  <c:v>总时长（分钟）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uri="{CE6537A1-D6FC-4f65-9D91-7224C49458BB}"/>
            </c:extLst>
          </c:dLbls>
          <c:cat>
            <c:strRef>
              <c:f>000006</c:f>
              <c:strCache>
                <c:ptCount val="5"/>
                <c:pt idx="0">
                  <c:v>聚乐部</c:v>
                </c:pt>
                <c:pt idx="1">
                  <c:v>漫研社宅舞</c:v>
                </c:pt>
                <c:pt idx="2">
                  <c:v>漫研社乐队</c:v>
                </c:pt>
                <c:pt idx="3">
                  <c:v>音乐剧社</c:v>
                </c:pt>
                <c:pt idx="4">
                  <c:v>精舞团</c:v>
                </c:pt>
              </c:strCache>
            </c:strRef>
          </c:cat>
          <c:val>
            <c:numRef>
              <c:f>000007</c:f>
              <c:numCache>
                <c:formatCode>0.0</c:formatCode>
                <c:ptCount val="5"/>
                <c:pt idx="0">
                  <c:v>4</c:v>
                </c:pt>
                <c:pt idx="1">
                  <c:v>14.93333333333333</c:v>
                </c:pt>
                <c:pt idx="2">
                  <c:v>17.099999999999998</c:v>
                </c:pt>
                <c:pt idx="3">
                  <c:v>21</c:v>
                </c:pt>
                <c:pt idx="4">
                  <c:v>30.2</c:v>
                </c:pt>
              </c:numCache>
            </c:numRef>
          </c:val>
          <c:extLst>
            <c:ext uri="{C3380CC4-5D6E-409C-BE32-E72D297353CC}"/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社团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总时长（分钟）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l="0.7" r="0.7" t="0.75" b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chart" Target="../charts/chart1.xml" 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1" name="Chart 1">
          <a:extLst>
            <a:ext uri="{FF2B5EF4-FFF2-40B4-BE49-F238E27FC236}"/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0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表_1927715761" displayName="表_1927715761" ref="A1:D8" headerRowCount="1" totalsRowCount="0">
  <autoFilter ref="A1:D8">
    <sortState ref="A2:D8"/>
  </autoFilter>
  <tableColumns count="4">
    <tableColumn id="1" name="正式表演时间（9.19）"/>
    <tableColumn id="2" name="社团"/>
    <tableColumn id="3" name="节目需求（如音箱、耳麦、手持麦、接线以及特殊需求）"/>
    <tableColumn id="4" name="备注"/>
  </tableColumns>
  <tableStyleInfo name="TENCENT_DOCS_BUILD_IN_TABLE_STYLE_COL_normal_#F88825" showFirstColumn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table" Target="../tables/table1.xml" 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/>
  <dimension ref="J36"/>
  <sheetViews>
    <sheetView showGridLines="1" tabSelected="0" workbookViewId="0"/>
  </sheetViews>
  <sheetFormatPr baseColWidth="8" defaultRowHeight="13.5"/>
  <cols>
    <col min="1" max="1" width="6" customWidth="1"/>
    <col min="2" max="3" width="10" customWidth="1"/>
    <col min="4" max="4" width="32" customWidth="1"/>
    <col min="5" max="5" width="12" customWidth="1"/>
    <col min="6" max="6" width="8" customWidth="1"/>
    <col min="7" max="7" width="14" customWidth="1"/>
    <col min="8" max="8" width="28" customWidth="1"/>
    <col min="9" max="9" width="10" customWidth="1"/>
    <col min="10" max="10" width="14" customWidth="1"/>
  </cols>
  <sheetData>
    <row r="1" spans="1:10" ht="32" customHeight="1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</row>
    <row r="2" spans="1:10" ht="30" customHeight="1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28.05" customHeight="1">
      <c r="A3" s="7">
        <v>1</v>
      </c>
      <c r="B3" s="8">
        <v>0.625</v>
      </c>
      <c r="C3" s="8">
        <v>0.628298611111111</v>
      </c>
      <c r="D3" s="9" t="s">
        <v>12</v>
      </c>
      <c r="E3" s="7" t="s">
        <v>13</v>
      </c>
      <c r="F3" s="10">
        <v>0.00329861111111111</v>
      </c>
      <c r="G3" s="9" t="s">
        <v>14</v>
      </c>
      <c r="H3" s="9" t="s">
        <v>15</v>
      </c>
      <c r="I3" s="9" t="s">
        <v>16</v>
      </c>
      <c r="J3" s="11" t="s">
        <v>17</v>
      </c>
    </row>
    <row r="4" spans="1:10" ht="28.05" customHeight="1">
      <c r="A4" s="7">
        <v>2</v>
      </c>
      <c r="B4" s="8">
        <v>0.628298611111111</v>
      </c>
      <c r="C4" s="8">
        <v>0.631319444444445</v>
      </c>
      <c r="D4" s="9" t="s">
        <v>18</v>
      </c>
      <c r="E4" s="7" t="s">
        <v>13</v>
      </c>
      <c r="F4" s="10">
        <v>0.00302083333333333</v>
      </c>
      <c r="G4" s="9" t="s">
        <v>14</v>
      </c>
      <c r="H4" s="9" t="s">
        <v>15</v>
      </c>
      <c r="I4" s="9" t="s">
        <v>16</v>
      </c>
      <c r="J4" s="11" t="s">
        <v>17</v>
      </c>
    </row>
    <row r="5" spans="1:10" ht="28.05" customHeight="1">
      <c r="A5" s="7">
        <v>3</v>
      </c>
      <c r="B5" s="8">
        <v>0.631319444444445</v>
      </c>
      <c r="C5" s="8">
        <v>0.634201388888889</v>
      </c>
      <c r="D5" s="9" t="s">
        <v>19</v>
      </c>
      <c r="E5" s="7" t="s">
        <v>13</v>
      </c>
      <c r="F5" s="10">
        <v>0.00288194444444444</v>
      </c>
      <c r="G5" s="9" t="s">
        <v>14</v>
      </c>
      <c r="H5" s="9" t="s">
        <v>15</v>
      </c>
      <c r="I5" s="9" t="s">
        <v>16</v>
      </c>
      <c r="J5" s="11" t="s">
        <v>17</v>
      </c>
    </row>
    <row r="6" spans="1:10" ht="28.05" customHeight="1">
      <c r="A6" s="7">
        <v>4</v>
      </c>
      <c r="B6" s="8">
        <v>0.634201388888889</v>
      </c>
      <c r="C6" s="8">
        <v>0.636875</v>
      </c>
      <c r="D6" s="9" t="s">
        <v>20</v>
      </c>
      <c r="E6" s="7" t="s">
        <v>13</v>
      </c>
      <c r="F6" s="10">
        <v>0.00267361111111111</v>
      </c>
      <c r="G6" s="9" t="s">
        <v>14</v>
      </c>
      <c r="H6" s="9" t="s">
        <v>15</v>
      </c>
      <c r="I6" s="9" t="s">
        <v>16</v>
      </c>
      <c r="J6" s="11" t="s">
        <v>17</v>
      </c>
    </row>
    <row r="7" spans="1:10" ht="28.05" customHeight="1">
      <c r="A7" s="12" t="s"/>
      <c r="B7" s="13">
        <v>0.638888888888889</v>
      </c>
      <c r="C7" s="13">
        <v>0.645833333333334</v>
      </c>
      <c r="D7" s="14" t="s">
        <v>21</v>
      </c>
      <c r="E7" s="12" t="s"/>
      <c r="F7" s="15">
        <v>0.00694444444444445</v>
      </c>
      <c r="G7" s="14" t="s"/>
      <c r="H7" s="14" t="s"/>
      <c r="I7" s="14" t="s"/>
      <c r="J7" s="14" t="s"/>
    </row>
    <row r="8" spans="1:10" ht="28.05" customHeight="1">
      <c r="A8" s="7">
        <v>5</v>
      </c>
      <c r="B8" s="8">
        <v>0.645833333333334</v>
      </c>
      <c r="C8" s="8">
        <v>0.648148148148148</v>
      </c>
      <c r="D8" s="9" t="s">
        <v>22</v>
      </c>
      <c r="E8" s="7" t="s">
        <v>23</v>
      </c>
      <c r="F8" s="10">
        <v>0.00231481481481482</v>
      </c>
      <c r="G8" s="9" t="s">
        <v>24</v>
      </c>
      <c r="H8" s="9" t="s">
        <v>25</v>
      </c>
      <c r="I8" s="9" t="s">
        <v>26</v>
      </c>
      <c r="J8" s="11" t="s">
        <v>27</v>
      </c>
    </row>
    <row r="9" spans="1:10" ht="28.05" customHeight="1">
      <c r="A9" s="7">
        <v>6</v>
      </c>
      <c r="B9" s="8">
        <v>0.648148148148148</v>
      </c>
      <c r="C9" s="8">
        <v>0.650231481481482</v>
      </c>
      <c r="D9" s="9" t="s">
        <v>28</v>
      </c>
      <c r="E9" s="7" t="s">
        <v>29</v>
      </c>
      <c r="F9" s="10">
        <v>0.00208333333333333</v>
      </c>
      <c r="G9" s="9" t="s">
        <v>24</v>
      </c>
      <c r="H9" s="9" t="s">
        <v>30</v>
      </c>
      <c r="I9" s="9" t="s">
        <v>26</v>
      </c>
      <c r="J9" s="11" t="s">
        <v>27</v>
      </c>
    </row>
    <row r="10" spans="1:10" ht="28.05" customHeight="1">
      <c r="A10" s="7">
        <v>7</v>
      </c>
      <c r="B10" s="8">
        <v>0.650231481481482</v>
      </c>
      <c r="C10" s="8">
        <v>0.651759259259259</v>
      </c>
      <c r="D10" s="9" t="s">
        <v>31</v>
      </c>
      <c r="E10" s="7" t="s">
        <v>32</v>
      </c>
      <c r="F10" s="10">
        <v>0.00152777777777778</v>
      </c>
      <c r="G10" s="9" t="s">
        <v>24</v>
      </c>
      <c r="H10" s="9" t="s">
        <v>33</v>
      </c>
      <c r="I10" s="9" t="s">
        <v>26</v>
      </c>
      <c r="J10" s="11" t="s">
        <v>27</v>
      </c>
    </row>
    <row r="11" spans="1:10" ht="28.05" customHeight="1">
      <c r="A11" s="7">
        <v>8</v>
      </c>
      <c r="B11" s="8">
        <v>0.651759259259259</v>
      </c>
      <c r="C11" s="8">
        <v>0.653148148148148</v>
      </c>
      <c r="D11" s="9" t="s">
        <v>34</v>
      </c>
      <c r="E11" s="7" t="s">
        <v>35</v>
      </c>
      <c r="F11" s="10">
        <v>0.00138888888888889</v>
      </c>
      <c r="G11" s="9" t="s">
        <v>24</v>
      </c>
      <c r="H11" s="9" t="s">
        <v>36</v>
      </c>
      <c r="I11" s="9" t="s">
        <v>26</v>
      </c>
      <c r="J11" s="11" t="s">
        <v>27</v>
      </c>
    </row>
    <row r="12" spans="1:10" ht="28.05" customHeight="1">
      <c r="A12" s="7">
        <v>9</v>
      </c>
      <c r="B12" s="8">
        <v>0.653148148148148</v>
      </c>
      <c r="C12" s="8">
        <v>0.654884259259259</v>
      </c>
      <c r="D12" s="9" t="s">
        <v>37</v>
      </c>
      <c r="E12" s="7" t="s">
        <v>38</v>
      </c>
      <c r="F12" s="10">
        <v>0.00173611111111111</v>
      </c>
      <c r="G12" s="9" t="s">
        <v>24</v>
      </c>
      <c r="H12" s="9" t="s">
        <v>39</v>
      </c>
      <c r="I12" s="9" t="s">
        <v>26</v>
      </c>
      <c r="J12" s="11" t="s">
        <v>27</v>
      </c>
    </row>
    <row r="13" spans="1:10" ht="28.05" customHeight="1">
      <c r="A13" s="7">
        <v>10</v>
      </c>
      <c r="B13" s="8">
        <v>0.654884259259259</v>
      </c>
      <c r="C13" s="8">
        <v>0.656273148148148</v>
      </c>
      <c r="D13" s="9" t="s">
        <v>40</v>
      </c>
      <c r="E13" s="7" t="s">
        <v>41</v>
      </c>
      <c r="F13" s="10">
        <v>0.00138888888888889</v>
      </c>
      <c r="G13" s="9" t="s">
        <v>24</v>
      </c>
      <c r="H13" s="9" t="s">
        <v>42</v>
      </c>
      <c r="I13" s="9" t="s">
        <v>26</v>
      </c>
      <c r="J13" s="11" t="s">
        <v>27</v>
      </c>
    </row>
    <row r="14" spans="1:10" ht="28.05" customHeight="1">
      <c r="A14" s="7">
        <v>11</v>
      </c>
      <c r="B14" s="8">
        <v>0.656273148148148</v>
      </c>
      <c r="C14" s="8">
        <v>0.659745370370371</v>
      </c>
      <c r="D14" s="9" t="s">
        <v>43</v>
      </c>
      <c r="E14" s="7" t="s">
        <v>44</v>
      </c>
      <c r="F14" s="10">
        <v>0.00347222222222222</v>
      </c>
      <c r="G14" s="9" t="s">
        <v>24</v>
      </c>
      <c r="H14" s="9" t="s">
        <v>45</v>
      </c>
      <c r="I14" s="9" t="s">
        <v>26</v>
      </c>
      <c r="J14" s="11" t="s">
        <v>27</v>
      </c>
    </row>
    <row r="15" spans="1:10" ht="28.05" customHeight="1">
      <c r="A15" s="7">
        <v>12</v>
      </c>
      <c r="B15" s="8">
        <v>0.659745370370371</v>
      </c>
      <c r="C15" s="8">
        <v>0.661597222222222</v>
      </c>
      <c r="D15" s="9" t="s">
        <v>46</v>
      </c>
      <c r="E15" s="7" t="s">
        <v>47</v>
      </c>
      <c r="F15" s="10">
        <v>0.00185185185185185</v>
      </c>
      <c r="G15" s="9" t="s">
        <v>24</v>
      </c>
      <c r="H15" s="9" t="s">
        <v>48</v>
      </c>
      <c r="I15" s="9" t="s">
        <v>26</v>
      </c>
      <c r="J15" s="11" t="s">
        <v>27</v>
      </c>
    </row>
    <row r="16" spans="1:10" ht="28.05" customHeight="1">
      <c r="A16" s="7">
        <v>13</v>
      </c>
      <c r="B16" s="8">
        <v>0.661597222222222</v>
      </c>
      <c r="C16" s="8">
        <v>0.662986111111111</v>
      </c>
      <c r="D16" s="9" t="s">
        <v>49</v>
      </c>
      <c r="E16" s="7" t="s">
        <v>50</v>
      </c>
      <c r="F16" s="10">
        <v>0.00138888888888889</v>
      </c>
      <c r="G16" s="9" t="s">
        <v>24</v>
      </c>
      <c r="H16" s="9" t="s">
        <v>51</v>
      </c>
      <c r="I16" s="9" t="s">
        <v>26</v>
      </c>
      <c r="J16" s="11" t="s">
        <v>27</v>
      </c>
    </row>
    <row r="17" spans="1:10" ht="28.05" customHeight="1">
      <c r="A17" s="7">
        <v>14</v>
      </c>
      <c r="B17" s="8">
        <v>0.662986111111111</v>
      </c>
      <c r="C17" s="8">
        <v>0.664722222222222</v>
      </c>
      <c r="D17" s="9" t="s">
        <v>52</v>
      </c>
      <c r="E17" s="7" t="s">
        <v>53</v>
      </c>
      <c r="F17" s="10">
        <v>0.00173611111111111</v>
      </c>
      <c r="G17" s="9" t="s">
        <v>24</v>
      </c>
      <c r="H17" s="9" t="s">
        <v>54</v>
      </c>
      <c r="I17" s="9" t="s">
        <v>26</v>
      </c>
      <c r="J17" s="11" t="s">
        <v>27</v>
      </c>
    </row>
    <row r="18" spans="1:10" ht="28.05" customHeight="1">
      <c r="A18" s="7">
        <v>15</v>
      </c>
      <c r="B18" s="8">
        <v>0.664722222222222</v>
      </c>
      <c r="C18" s="8">
        <v>0.666805555555556</v>
      </c>
      <c r="D18" s="9" t="s">
        <v>55</v>
      </c>
      <c r="E18" s="7" t="s">
        <v>56</v>
      </c>
      <c r="F18" s="10">
        <v>0.00208333333333333</v>
      </c>
      <c r="G18" s="9" t="s">
        <v>24</v>
      </c>
      <c r="H18" s="9" t="s">
        <v>57</v>
      </c>
      <c r="I18" s="9" t="s">
        <v>26</v>
      </c>
      <c r="J18" s="11" t="s">
        <v>27</v>
      </c>
    </row>
    <row r="19" spans="1:10" ht="28.05" customHeight="1">
      <c r="A19" s="12" t="s"/>
      <c r="B19" s="13">
        <v>0.670138888888889</v>
      </c>
      <c r="C19" s="13">
        <v>0.673611111111111</v>
      </c>
      <c r="D19" s="14" t="s">
        <v>58</v>
      </c>
      <c r="E19" s="12" t="s"/>
      <c r="F19" s="15">
        <v>0.00347222222222222</v>
      </c>
      <c r="G19" s="14" t="s"/>
      <c r="H19" s="14" t="s"/>
      <c r="I19" s="14" t="s"/>
      <c r="J19" s="14" t="s"/>
    </row>
    <row r="20" spans="1:10" ht="28.05" customHeight="1">
      <c r="A20" s="7">
        <v>16</v>
      </c>
      <c r="B20" s="8">
        <v>0.673611111111111</v>
      </c>
      <c r="C20" s="8">
        <v>0.677777777777778</v>
      </c>
      <c r="D20" s="9" t="s">
        <v>59</v>
      </c>
      <c r="E20" s="7" t="s">
        <v>60</v>
      </c>
      <c r="F20" s="10">
        <v>0.00416666666666667</v>
      </c>
      <c r="G20" s="9" t="s">
        <v>61</v>
      </c>
      <c r="H20" s="9" t="s">
        <v>62</v>
      </c>
      <c r="I20" s="9" t="s">
        <v>63</v>
      </c>
      <c r="J20" s="11" t="s">
        <v>27</v>
      </c>
    </row>
    <row r="21" spans="1:10" ht="28.05" customHeight="1">
      <c r="A21" s="7">
        <v>17</v>
      </c>
      <c r="B21" s="8">
        <v>0.677777777777778</v>
      </c>
      <c r="C21" s="8">
        <v>0.679861111111111</v>
      </c>
      <c r="D21" s="9" t="s">
        <v>64</v>
      </c>
      <c r="E21" s="7" t="s">
        <v>60</v>
      </c>
      <c r="F21" s="10">
        <v>0.00208333333333333</v>
      </c>
      <c r="G21" s="9" t="s">
        <v>61</v>
      </c>
      <c r="H21" s="9" t="s">
        <v>65</v>
      </c>
      <c r="I21" s="9" t="s">
        <v>63</v>
      </c>
      <c r="J21" s="11" t="s">
        <v>27</v>
      </c>
    </row>
    <row r="22" spans="1:10" ht="28.05" customHeight="1">
      <c r="A22" s="7">
        <v>18</v>
      </c>
      <c r="B22" s="8">
        <v>0.679861111111111</v>
      </c>
      <c r="C22" s="8">
        <v>0.682638888888889</v>
      </c>
      <c r="D22" s="9" t="s">
        <v>66</v>
      </c>
      <c r="E22" s="7" t="s">
        <v>60</v>
      </c>
      <c r="F22" s="10">
        <v>0.00277777777777778</v>
      </c>
      <c r="G22" s="9" t="s">
        <v>61</v>
      </c>
      <c r="H22" s="9" t="s">
        <v>65</v>
      </c>
      <c r="I22" s="9" t="s">
        <v>63</v>
      </c>
      <c r="J22" s="11" t="s">
        <v>27</v>
      </c>
    </row>
    <row r="23" spans="1:10" ht="28.05" customHeight="1">
      <c r="A23" s="7">
        <v>19</v>
      </c>
      <c r="B23" s="8">
        <v>0.682638888888889</v>
      </c>
      <c r="C23" s="8">
        <v>0.685416666666667</v>
      </c>
      <c r="D23" s="9" t="s">
        <v>67</v>
      </c>
      <c r="E23" s="7" t="s">
        <v>60</v>
      </c>
      <c r="F23" s="10">
        <v>0.00277777777777778</v>
      </c>
      <c r="G23" s="9" t="s">
        <v>61</v>
      </c>
      <c r="H23" s="9" t="s">
        <v>68</v>
      </c>
      <c r="I23" s="9" t="s">
        <v>63</v>
      </c>
      <c r="J23" s="11" t="s">
        <v>27</v>
      </c>
    </row>
    <row r="24" spans="1:10" ht="28.05" customHeight="1">
      <c r="A24" s="7">
        <v>20</v>
      </c>
      <c r="B24" s="8">
        <v>0.685416666666667</v>
      </c>
      <c r="C24" s="8">
        <v>0.688194444444445</v>
      </c>
      <c r="D24" s="9" t="s">
        <v>69</v>
      </c>
      <c r="E24" s="7" t="s">
        <v>60</v>
      </c>
      <c r="F24" s="10">
        <v>0.00277777777777778</v>
      </c>
      <c r="G24" s="9" t="s">
        <v>61</v>
      </c>
      <c r="H24" s="9" t="s">
        <v>70</v>
      </c>
      <c r="I24" s="9" t="s">
        <v>63</v>
      </c>
      <c r="J24" s="11" t="s">
        <v>27</v>
      </c>
    </row>
    <row r="25" spans="1:10" ht="28.05" customHeight="1">
      <c r="A25" s="12" t="s"/>
      <c r="B25" s="13">
        <v>0.690972222222222</v>
      </c>
      <c r="C25" s="13">
        <v>0.694444444444445</v>
      </c>
      <c r="D25" s="14" t="s">
        <v>58</v>
      </c>
      <c r="E25" s="12" t="s"/>
      <c r="F25" s="15">
        <v>0.00347222222222222</v>
      </c>
      <c r="G25" s="14" t="s"/>
      <c r="H25" s="14" t="s"/>
      <c r="I25" s="14" t="s"/>
      <c r="J25" s="14" t="s"/>
    </row>
    <row r="26" spans="1:10" ht="28.05" customHeight="1">
      <c r="A26" s="7">
        <v>21</v>
      </c>
      <c r="B26" s="8">
        <v>0.694444444444445</v>
      </c>
      <c r="C26" s="8">
        <v>0.696875</v>
      </c>
      <c r="D26" s="43" t="s">
        <v>114</v>
      </c>
      <c r="E26" s="7" t="s">
        <v>72</v>
      </c>
      <c r="F26" s="44">
        <v>0.002430555555556</v>
      </c>
      <c r="G26" s="9" t="s">
        <v>73</v>
      </c>
      <c r="H26" s="9" t="s">
        <v>65</v>
      </c>
      <c r="I26" s="9" t="s">
        <v>74</v>
      </c>
      <c r="J26" s="11" t="s">
        <v>75</v>
      </c>
    </row>
    <row r="27" spans="1:10" ht="28.05" customHeight="1">
      <c r="A27" s="7">
        <v>22</v>
      </c>
      <c r="B27" s="8">
        <v>0.696875</v>
      </c>
      <c r="C27" s="53">
        <v>0.698206018518519</v>
      </c>
      <c r="D27" s="56" t="s">
        <v>78</v>
      </c>
      <c r="E27" s="51" t="s">
        <v>72</v>
      </c>
      <c r="F27" s="58">
        <v>0.00133101851851852</v>
      </c>
      <c r="G27" s="56" t="s">
        <v>73</v>
      </c>
      <c r="H27" s="56" t="s">
        <v>68</v>
      </c>
      <c r="I27" s="56" t="s">
        <v>74</v>
      </c>
      <c r="J27" s="57" t="s">
        <v>75</v>
      </c>
    </row>
    <row r="28" spans="1:10" ht="28.05" customHeight="1">
      <c r="A28" s="7">
        <v>23</v>
      </c>
      <c r="B28" s="53">
        <v>0.698206018518519</v>
      </c>
      <c r="C28" s="8">
        <v>0.701493055555556</v>
      </c>
      <c r="D28" s="9" t="s">
        <v>77</v>
      </c>
      <c r="E28" s="7" t="s">
        <v>72</v>
      </c>
      <c r="F28" s="10">
        <v>0.00328703703703704</v>
      </c>
      <c r="G28" s="9" t="s">
        <v>73</v>
      </c>
      <c r="H28" s="9" t="s">
        <v>65</v>
      </c>
      <c r="I28" s="9" t="s">
        <v>74</v>
      </c>
      <c r="J28" s="11" t="s">
        <v>75</v>
      </c>
    </row>
    <row r="29" spans="1:10" ht="28.05" customHeight="1">
      <c r="A29" s="7">
        <v>24</v>
      </c>
      <c r="B29" s="8">
        <v>0.701493055555556</v>
      </c>
      <c r="C29" s="8">
        <v>0.7034375</v>
      </c>
      <c r="D29" s="9" t="s">
        <v>76</v>
      </c>
      <c r="E29" s="7" t="s">
        <v>72</v>
      </c>
      <c r="F29" s="10">
        <v>0.00194444444444444</v>
      </c>
      <c r="G29" s="9" t="s">
        <v>73</v>
      </c>
      <c r="H29" s="9" t="s">
        <v>65</v>
      </c>
      <c r="I29" s="9" t="s">
        <v>74</v>
      </c>
      <c r="J29" s="11" t="s">
        <v>75</v>
      </c>
    </row>
    <row r="30" spans="1:10" ht="28.05" customHeight="1">
      <c r="A30" s="7">
        <v>25</v>
      </c>
      <c r="B30" s="8">
        <v>0.7034375</v>
      </c>
      <c r="C30" s="8">
        <v>0.705798611111112</v>
      </c>
      <c r="D30" s="9" t="s">
        <v>79</v>
      </c>
      <c r="E30" s="7" t="s">
        <v>72</v>
      </c>
      <c r="F30" s="10">
        <v>0.00236111111111111</v>
      </c>
      <c r="G30" s="9" t="s">
        <v>73</v>
      </c>
      <c r="H30" s="9" t="s">
        <v>15</v>
      </c>
      <c r="I30" s="9" t="s">
        <v>74</v>
      </c>
      <c r="J30" s="11" t="s">
        <v>75</v>
      </c>
    </row>
    <row r="31" spans="1:10" ht="28.05" customHeight="1">
      <c r="A31" s="12" t="s"/>
      <c r="B31" s="13">
        <v>0.704861111111111</v>
      </c>
      <c r="C31" s="13">
        <v>0.708333333333334</v>
      </c>
      <c r="D31" s="14" t="s">
        <v>58</v>
      </c>
      <c r="E31" s="12" t="s"/>
      <c r="F31" s="15">
        <v>0.00347222222222222</v>
      </c>
      <c r="G31" s="14" t="s"/>
      <c r="H31" s="14" t="s"/>
      <c r="I31" s="14" t="s"/>
      <c r="J31" s="14" t="s"/>
    </row>
    <row r="32" spans="1:10" ht="28.05" customHeight="1">
      <c r="A32" s="7">
        <v>26</v>
      </c>
      <c r="B32" s="8">
        <v>0.708333333333334</v>
      </c>
      <c r="C32" s="8">
        <v>0.711111111111111</v>
      </c>
      <c r="D32" s="9" t="s">
        <v>80</v>
      </c>
      <c r="E32" s="7" t="s">
        <v>81</v>
      </c>
      <c r="F32" s="10">
        <v>0.00277777777777778</v>
      </c>
      <c r="G32" s="9" t="s">
        <v>82</v>
      </c>
      <c r="H32" s="9" t="s">
        <v>83</v>
      </c>
      <c r="I32" s="9" t="s">
        <v>84</v>
      </c>
      <c r="J32" s="11" t="s">
        <v>27</v>
      </c>
    </row>
    <row r="33" spans="1:10" ht="28.05" customHeight="1">
      <c r="A33" s="12" t="s"/>
      <c r="B33" s="13">
        <v>0.711805555555556</v>
      </c>
      <c r="C33" s="13">
        <v>0.715277777777778</v>
      </c>
      <c r="D33" s="14" t="s">
        <v>58</v>
      </c>
      <c r="E33" s="12" t="s"/>
      <c r="F33" s="15">
        <v>0.00347222222222222</v>
      </c>
      <c r="G33" s="14" t="s"/>
      <c r="H33" s="14" t="s"/>
      <c r="I33" s="14" t="s"/>
      <c r="J33" s="14" t="s"/>
    </row>
    <row r="34" spans="1:10" ht="28.05" customHeight="1">
      <c r="A34" s="7">
        <v>27</v>
      </c>
      <c r="B34" s="8">
        <v>0.715277777777778</v>
      </c>
      <c r="C34" s="8">
        <v>0.719444444444445</v>
      </c>
      <c r="D34" s="9" t="s">
        <v>85</v>
      </c>
      <c r="E34" s="7" t="s">
        <v>86</v>
      </c>
      <c r="F34" s="10">
        <v>0.00416666666666667</v>
      </c>
      <c r="G34" s="9" t="s">
        <v>87</v>
      </c>
      <c r="H34" s="9" t="s">
        <v>88</v>
      </c>
      <c r="I34" s="9" t="s">
        <v>89</v>
      </c>
      <c r="J34" s="11" t="s">
        <v>90</v>
      </c>
    </row>
    <row r="35" spans="1:10" ht="28.05" customHeight="1">
      <c r="A35" s="16">
        <v>28</v>
      </c>
      <c r="B35" s="17">
        <v>0.722222222222222</v>
      </c>
      <c r="C35" s="17">
        <v>0.75</v>
      </c>
      <c r="D35" s="18" t="s">
        <v>91</v>
      </c>
      <c r="E35" s="16" t="s">
        <v>92</v>
      </c>
      <c r="F35" s="19">
        <v>0.0277777777777778</v>
      </c>
      <c r="G35" s="18" t="s">
        <v>24</v>
      </c>
      <c r="H35" s="18" t="s">
        <v>93</v>
      </c>
      <c r="I35" s="18" t="s">
        <v>26</v>
      </c>
      <c r="J35" s="20" t="s">
        <v>27</v>
      </c>
    </row>
    <row r="36" spans="1:10" ht="50" customHeight="1">
      <c r="A36" s="21" t="s">
        <v>94</v>
      </c>
      <c r="B36" s="5" t="s"/>
      <c r="C36" s="5" t="s"/>
      <c r="D36" s="5" t="s"/>
      <c r="E36" s="5" t="s"/>
      <c r="F36" s="5" t="s"/>
      <c r="G36" s="5" t="s"/>
      <c r="H36" s="5" t="s"/>
      <c r="I36" s="5" t="s"/>
      <c r="J36" s="5" t="s"/>
    </row>
  </sheetData>
  <mergeCells count="2">
    <mergeCell ref="A1:J1"/>
    <mergeCell ref="A36:J36"/>
  </mergeCell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 codeName=" 物资需求">
    <tabColor/>
  </sheetPr>
  <dimension ref="C8"/>
  <sheetViews>
    <sheetView showGridLines="1" workbookViewId="0"/>
  </sheetViews>
  <sheetFormatPr baseColWidth="13" defaultRowHeight="18" customHeight="1"/>
  <cols>
    <col min="1" max="1" width="21.9531" customWidth="1"/>
    <col min="3" max="3" width="51.8828" customWidth="1"/>
  </cols>
  <sheetData>
    <row r="1" spans="1:4" s="74" customFormat="1" ht="30" customHeight="1">
      <c r="A1" s="69" t="s">
        <v>135</v>
      </c>
      <c r="B1" s="70" t="s">
        <v>137</v>
      </c>
      <c r="C1" s="71" t="s">
        <v>164</v>
      </c>
      <c r="D1" s="70" t="s">
        <v>165</v>
      </c>
    </row>
    <row r="2" spans="1:3" s="74" customFormat="1" ht="30" customHeight="1">
      <c r="A2" s="72" t="s">
        <v>122</v>
      </c>
      <c r="B2" s="70" t="s">
        <v>123</v>
      </c>
      <c r="C2" s="70" t="s"/>
    </row>
    <row r="3" spans="1:3" s="74" customFormat="1" ht="30" customHeight="1">
      <c r="A3" s="72" t="s">
        <v>124</v>
      </c>
      <c r="B3" s="73" t="s">
        <v>24</v>
      </c>
      <c r="C3" s="70" t="s"/>
    </row>
    <row r="4" spans="1:3" s="74" customFormat="1" ht="30" customHeight="1">
      <c r="A4" s="72" t="s">
        <v>125</v>
      </c>
      <c r="B4" s="70" t="s">
        <v>126</v>
      </c>
      <c r="C4" s="70" t="s"/>
    </row>
    <row r="5" spans="1:3" s="74" customFormat="1" ht="30" customHeight="1">
      <c r="A5" s="72" t="s">
        <v>127</v>
      </c>
      <c r="B5" s="70" t="s">
        <v>128</v>
      </c>
      <c r="C5" s="70" t="s"/>
    </row>
    <row r="6" spans="1:3" s="74" customFormat="1" ht="30" customHeight="1">
      <c r="A6" s="72" t="s">
        <v>129</v>
      </c>
      <c r="B6" s="73" t="s">
        <v>82</v>
      </c>
      <c r="C6" s="70" t="s"/>
    </row>
    <row r="7" spans="1:3" s="74" customFormat="1" ht="30" customHeight="1">
      <c r="A7" s="72" t="s">
        <v>130</v>
      </c>
      <c r="B7" s="70" t="s">
        <v>87</v>
      </c>
      <c r="C7" s="70" t="s"/>
    </row>
    <row r="8" spans="1:3" s="74" customFormat="1" ht="30" customHeight="1">
      <c r="A8" s="72" t="s">
        <v>131</v>
      </c>
      <c r="B8" s="73" t="s">
        <v>133</v>
      </c>
      <c r="C8" s="70" t="s"/>
    </row>
  </sheetData>
  <tableParts count="1">
    <tablePart r:id="rId0"/>
  </tableParts>
</worksheet>
</file>

<file path=xl/worksheets/sheet3.xml><?xml version="1.0" encoding="utf-8"?>
<worksheet xmlns="http://schemas.openxmlformats.org/spreadsheetml/2006/main">
  <sheetPr/>
  <dimension ref="H42"/>
  <sheetViews>
    <sheetView showGridLines="1" tabSelected="0" workbookViewId="0">
      <pane ySplit="2" topLeftCell="A3" activePane="bottomLeft" state="frozen"/>
    </sheetView>
  </sheetViews>
  <sheetFormatPr baseColWidth="8" defaultRowHeight="13.5"/>
  <cols>
    <col min="1" max="1" width="6" customWidth="1"/>
    <col min="2" max="2" width="33" customWidth="1"/>
    <col min="3" max="3" width="11" customWidth="1"/>
    <col min="4" max="4" width="9" customWidth="1"/>
    <col min="5" max="5" width="29" customWidth="1"/>
    <col min="6" max="6" width="13" customWidth="1"/>
    <col min="7" max="7" width="9" customWidth="1"/>
    <col min="8" max="8" width="15" customWidth="1"/>
  </cols>
  <sheetData>
    <row r="1" spans="1:8" ht="30" customHeight="1">
      <c r="A1" s="22" t="s">
        <v>95</v>
      </c>
      <c r="B1" s="5" t="s"/>
      <c r="C1" s="5" t="s"/>
      <c r="D1" s="5" t="s"/>
      <c r="E1" s="5" t="s"/>
      <c r="F1" s="5" t="s"/>
      <c r="G1" s="5" t="s"/>
      <c r="H1" s="5" t="s"/>
    </row>
    <row r="2" spans="1:8" ht="36" customHeight="1">
      <c r="A2" s="23" t="s">
        <v>2</v>
      </c>
      <c r="B2" s="23" t="s">
        <v>5</v>
      </c>
      <c r="C2" s="23" t="s">
        <v>6</v>
      </c>
      <c r="D2" s="23" t="s">
        <v>96</v>
      </c>
      <c r="E2" s="23" t="s">
        <v>97</v>
      </c>
      <c r="F2" s="23" t="s">
        <v>8</v>
      </c>
      <c r="G2" s="23" t="s">
        <v>98</v>
      </c>
      <c r="H2" s="23" t="s">
        <v>11</v>
      </c>
    </row>
    <row r="3" spans="1:8" ht="36" customHeight="1">
      <c r="A3" s="24">
        <v>1</v>
      </c>
      <c r="B3" s="25" t="s">
        <v>80</v>
      </c>
      <c r="C3" s="25" t="s">
        <v>81</v>
      </c>
      <c r="D3" s="26">
        <v>0.00277777777777778</v>
      </c>
      <c r="E3" s="25" t="s">
        <v>83</v>
      </c>
      <c r="F3" s="25" t="s">
        <v>82</v>
      </c>
      <c r="G3" s="25" t="s">
        <v>84</v>
      </c>
      <c r="H3" s="27" t="s">
        <v>27</v>
      </c>
    </row>
    <row r="4" spans="1:8" ht="36" customHeight="1">
      <c r="A4" s="24">
        <v>2</v>
      </c>
      <c r="B4" s="45" t="s">
        <v>114</v>
      </c>
      <c r="C4" s="48" t="s">
        <v>72</v>
      </c>
      <c r="D4" s="47">
        <v>0.002430555555556</v>
      </c>
      <c r="E4" s="28" t="s">
        <v>65</v>
      </c>
      <c r="F4" s="48" t="s">
        <v>73</v>
      </c>
      <c r="G4" s="28" t="s">
        <v>74</v>
      </c>
      <c r="H4" s="30" t="s">
        <v>75</v>
      </c>
    </row>
    <row r="5" spans="1:8" ht="36" customHeight="1">
      <c r="A5" s="24">
        <v>3</v>
      </c>
      <c r="B5" s="28" t="s">
        <v>76</v>
      </c>
      <c r="C5" s="28" t="s">
        <v>72</v>
      </c>
      <c r="D5" s="29">
        <v>0.00194444444444444</v>
      </c>
      <c r="E5" s="28" t="s">
        <v>65</v>
      </c>
      <c r="F5" s="28" t="s">
        <v>73</v>
      </c>
      <c r="G5" s="28" t="s">
        <v>74</v>
      </c>
      <c r="H5" s="30" t="s">
        <v>75</v>
      </c>
    </row>
    <row r="6" spans="1:8" ht="36" customHeight="1">
      <c r="A6" s="24">
        <v>4</v>
      </c>
      <c r="B6" s="28" t="s">
        <v>77</v>
      </c>
      <c r="C6" s="28" t="s">
        <v>72</v>
      </c>
      <c r="D6" s="29">
        <v>0.00328703703703704</v>
      </c>
      <c r="E6" s="28" t="s">
        <v>65</v>
      </c>
      <c r="F6" s="28" t="s">
        <v>73</v>
      </c>
      <c r="G6" s="28" t="s">
        <v>74</v>
      </c>
      <c r="H6" s="30" t="s">
        <v>75</v>
      </c>
    </row>
    <row r="7" spans="1:8" ht="36" customHeight="1">
      <c r="A7" s="24">
        <v>5</v>
      </c>
      <c r="B7" s="28" t="s">
        <v>78</v>
      </c>
      <c r="C7" s="28" t="s">
        <v>72</v>
      </c>
      <c r="D7" s="29">
        <v>0.00133101851851852</v>
      </c>
      <c r="E7" s="28" t="s">
        <v>68</v>
      </c>
      <c r="F7" s="28" t="s">
        <v>73</v>
      </c>
      <c r="G7" s="28" t="s">
        <v>74</v>
      </c>
      <c r="H7" s="30" t="s">
        <v>75</v>
      </c>
    </row>
    <row r="8" spans="1:8" ht="36" customHeight="1">
      <c r="A8" s="24">
        <v>6</v>
      </c>
      <c r="B8" s="28" t="s">
        <v>79</v>
      </c>
      <c r="C8" s="28" t="s">
        <v>72</v>
      </c>
      <c r="D8" s="29">
        <v>0.00236111111111111</v>
      </c>
      <c r="E8" s="28" t="s">
        <v>15</v>
      </c>
      <c r="F8" s="28" t="s">
        <v>73</v>
      </c>
      <c r="G8" s="28" t="s">
        <v>74</v>
      </c>
      <c r="H8" s="30" t="s">
        <v>75</v>
      </c>
    </row>
    <row r="9" spans="1:8" ht="36" customHeight="1">
      <c r="A9" s="24">
        <v>7</v>
      </c>
      <c r="B9" s="28" t="s">
        <v>12</v>
      </c>
      <c r="C9" s="28" t="s">
        <v>13</v>
      </c>
      <c r="D9" s="29">
        <v>0.00329861111111111</v>
      </c>
      <c r="E9" s="28" t="s">
        <v>15</v>
      </c>
      <c r="F9" s="28" t="s">
        <v>14</v>
      </c>
      <c r="G9" s="28" t="s">
        <v>16</v>
      </c>
      <c r="H9" s="30" t="s">
        <v>17</v>
      </c>
    </row>
    <row r="10" spans="1:8" ht="36" customHeight="1">
      <c r="A10" s="24">
        <v>8</v>
      </c>
      <c r="B10" s="28" t="s">
        <v>18</v>
      </c>
      <c r="C10" s="28" t="s">
        <v>13</v>
      </c>
      <c r="D10" s="29">
        <v>0.00302083333333333</v>
      </c>
      <c r="E10" s="28" t="s">
        <v>15</v>
      </c>
      <c r="F10" s="28" t="s">
        <v>14</v>
      </c>
      <c r="G10" s="28" t="s">
        <v>16</v>
      </c>
      <c r="H10" s="30" t="s">
        <v>17</v>
      </c>
    </row>
    <row r="11" spans="1:8" ht="36" customHeight="1">
      <c r="A11" s="24">
        <v>9</v>
      </c>
      <c r="B11" s="28" t="s">
        <v>19</v>
      </c>
      <c r="C11" s="28" t="s">
        <v>13</v>
      </c>
      <c r="D11" s="29">
        <v>0.00288194444444444</v>
      </c>
      <c r="E11" s="28" t="s">
        <v>15</v>
      </c>
      <c r="F11" s="28" t="s">
        <v>14</v>
      </c>
      <c r="G11" s="28" t="s">
        <v>16</v>
      </c>
      <c r="H11" s="30" t="s">
        <v>17</v>
      </c>
    </row>
    <row r="12" spans="1:8" ht="36" customHeight="1">
      <c r="A12" s="24">
        <v>10</v>
      </c>
      <c r="B12" s="28" t="s">
        <v>20</v>
      </c>
      <c r="C12" s="28" t="s">
        <v>13</v>
      </c>
      <c r="D12" s="29">
        <v>0.00267361111111111</v>
      </c>
      <c r="E12" s="28" t="s">
        <v>15</v>
      </c>
      <c r="F12" s="28" t="s">
        <v>14</v>
      </c>
      <c r="G12" s="28" t="s">
        <v>16</v>
      </c>
      <c r="H12" s="30" t="s">
        <v>17</v>
      </c>
    </row>
    <row r="13" spans="1:8" ht="36" customHeight="1">
      <c r="A13" s="24">
        <v>11</v>
      </c>
      <c r="B13" s="28" t="s">
        <v>59</v>
      </c>
      <c r="C13" s="28" t="s">
        <v>60</v>
      </c>
      <c r="D13" s="29">
        <v>0.00416666666666667</v>
      </c>
      <c r="E13" s="28" t="s">
        <v>62</v>
      </c>
      <c r="F13" s="28" t="s">
        <v>61</v>
      </c>
      <c r="G13" s="28" t="s">
        <v>63</v>
      </c>
      <c r="H13" s="30" t="s">
        <v>27</v>
      </c>
    </row>
    <row r="14" spans="1:8" ht="36" customHeight="1">
      <c r="A14" s="24">
        <v>12</v>
      </c>
      <c r="B14" s="28" t="s">
        <v>64</v>
      </c>
      <c r="C14" s="28" t="s">
        <v>60</v>
      </c>
      <c r="D14" s="29">
        <v>0.00208333333333333</v>
      </c>
      <c r="E14" s="28" t="s">
        <v>65</v>
      </c>
      <c r="F14" s="28" t="s">
        <v>61</v>
      </c>
      <c r="G14" s="28" t="s">
        <v>63</v>
      </c>
      <c r="H14" s="30" t="s">
        <v>27</v>
      </c>
    </row>
    <row r="15" spans="1:8" ht="36" customHeight="1">
      <c r="A15" s="24">
        <v>13</v>
      </c>
      <c r="B15" s="28" t="s">
        <v>66</v>
      </c>
      <c r="C15" s="28" t="s">
        <v>60</v>
      </c>
      <c r="D15" s="29">
        <v>0.00277777777777778</v>
      </c>
      <c r="E15" s="28" t="s">
        <v>65</v>
      </c>
      <c r="F15" s="28" t="s">
        <v>61</v>
      </c>
      <c r="G15" s="28" t="s">
        <v>63</v>
      </c>
      <c r="H15" s="30" t="s">
        <v>27</v>
      </c>
    </row>
    <row r="16" spans="1:8" ht="36" customHeight="1">
      <c r="A16" s="24">
        <v>14</v>
      </c>
      <c r="B16" s="28" t="s">
        <v>67</v>
      </c>
      <c r="C16" s="28" t="s">
        <v>60</v>
      </c>
      <c r="D16" s="29">
        <v>0.00277777777777778</v>
      </c>
      <c r="E16" s="28" t="s">
        <v>68</v>
      </c>
      <c r="F16" s="28" t="s">
        <v>61</v>
      </c>
      <c r="G16" s="28" t="s">
        <v>63</v>
      </c>
      <c r="H16" s="30" t="s">
        <v>27</v>
      </c>
    </row>
    <row r="17" spans="1:8" ht="36" customHeight="1">
      <c r="A17" s="24">
        <v>15</v>
      </c>
      <c r="B17" s="28" t="s">
        <v>69</v>
      </c>
      <c r="C17" s="28" t="s">
        <v>60</v>
      </c>
      <c r="D17" s="29">
        <v>0.00277777777777778</v>
      </c>
      <c r="E17" s="28" t="s">
        <v>70</v>
      </c>
      <c r="F17" s="28" t="s">
        <v>61</v>
      </c>
      <c r="G17" s="28" t="s">
        <v>63</v>
      </c>
      <c r="H17" s="30" t="s">
        <v>27</v>
      </c>
    </row>
    <row r="18" spans="1:8" ht="36" customHeight="1">
      <c r="A18" s="24">
        <v>16</v>
      </c>
      <c r="B18" s="28" t="s">
        <v>22</v>
      </c>
      <c r="C18" s="28" t="s">
        <v>23</v>
      </c>
      <c r="D18" s="29">
        <v>0.00231481481481482</v>
      </c>
      <c r="E18" s="28" t="s">
        <v>25</v>
      </c>
      <c r="F18" s="28" t="s">
        <v>24</v>
      </c>
      <c r="G18" s="28" t="s">
        <v>26</v>
      </c>
      <c r="H18" s="30" t="s">
        <v>27</v>
      </c>
    </row>
    <row r="19" spans="1:8" ht="36" customHeight="1">
      <c r="A19" s="24">
        <v>17</v>
      </c>
      <c r="B19" s="28" t="s">
        <v>28</v>
      </c>
      <c r="C19" s="28" t="s">
        <v>29</v>
      </c>
      <c r="D19" s="29">
        <v>0.00208333333333333</v>
      </c>
      <c r="E19" s="28" t="s">
        <v>30</v>
      </c>
      <c r="F19" s="28" t="s">
        <v>24</v>
      </c>
      <c r="G19" s="28" t="s">
        <v>26</v>
      </c>
      <c r="H19" s="30" t="s">
        <v>27</v>
      </c>
    </row>
    <row r="20" spans="1:8" ht="36" customHeight="1">
      <c r="A20" s="24">
        <v>18</v>
      </c>
      <c r="B20" s="28" t="s">
        <v>31</v>
      </c>
      <c r="C20" s="28" t="s">
        <v>32</v>
      </c>
      <c r="D20" s="29">
        <v>0.00152777777777778</v>
      </c>
      <c r="E20" s="28" t="s">
        <v>33</v>
      </c>
      <c r="F20" s="28" t="s">
        <v>24</v>
      </c>
      <c r="G20" s="28" t="s">
        <v>26</v>
      </c>
      <c r="H20" s="30" t="s">
        <v>27</v>
      </c>
    </row>
    <row r="21" spans="1:8" ht="36" customHeight="1">
      <c r="A21" s="24">
        <v>19</v>
      </c>
      <c r="B21" s="28" t="s">
        <v>34</v>
      </c>
      <c r="C21" s="28" t="s">
        <v>35</v>
      </c>
      <c r="D21" s="29">
        <v>0.00138888888888889</v>
      </c>
      <c r="E21" s="28" t="s">
        <v>36</v>
      </c>
      <c r="F21" s="28" t="s">
        <v>24</v>
      </c>
      <c r="G21" s="28" t="s">
        <v>26</v>
      </c>
      <c r="H21" s="30" t="s">
        <v>27</v>
      </c>
    </row>
    <row r="22" spans="1:8" ht="36" customHeight="1">
      <c r="A22" s="24">
        <v>20</v>
      </c>
      <c r="B22" s="28" t="s">
        <v>37</v>
      </c>
      <c r="C22" s="28" t="s">
        <v>38</v>
      </c>
      <c r="D22" s="29">
        <v>0.00173611111111111</v>
      </c>
      <c r="E22" s="28" t="s">
        <v>39</v>
      </c>
      <c r="F22" s="28" t="s">
        <v>24</v>
      </c>
      <c r="G22" s="28" t="s">
        <v>26</v>
      </c>
      <c r="H22" s="30" t="s">
        <v>27</v>
      </c>
    </row>
    <row r="23" spans="1:8" ht="36" customHeight="1">
      <c r="A23" s="24">
        <v>21</v>
      </c>
      <c r="B23" s="28" t="s">
        <v>40</v>
      </c>
      <c r="C23" s="28" t="s">
        <v>41</v>
      </c>
      <c r="D23" s="29">
        <v>0.00138888888888889</v>
      </c>
      <c r="E23" s="28" t="s">
        <v>42</v>
      </c>
      <c r="F23" s="28" t="s">
        <v>24</v>
      </c>
      <c r="G23" s="28" t="s">
        <v>26</v>
      </c>
      <c r="H23" s="30" t="s">
        <v>27</v>
      </c>
    </row>
    <row r="24" spans="1:8" ht="36" customHeight="1">
      <c r="A24" s="24">
        <v>22</v>
      </c>
      <c r="B24" s="28" t="s">
        <v>43</v>
      </c>
      <c r="C24" s="28" t="s">
        <v>44</v>
      </c>
      <c r="D24" s="29">
        <v>0.00347222222222222</v>
      </c>
      <c r="E24" s="28" t="s">
        <v>45</v>
      </c>
      <c r="F24" s="28" t="s">
        <v>24</v>
      </c>
      <c r="G24" s="28" t="s">
        <v>26</v>
      </c>
      <c r="H24" s="30" t="s">
        <v>27</v>
      </c>
    </row>
    <row r="25" spans="1:8" ht="36" customHeight="1">
      <c r="A25" s="24">
        <v>23</v>
      </c>
      <c r="B25" s="28" t="s">
        <v>46</v>
      </c>
      <c r="C25" s="28" t="s">
        <v>47</v>
      </c>
      <c r="D25" s="29">
        <v>0.00185185185185185</v>
      </c>
      <c r="E25" s="28" t="s">
        <v>48</v>
      </c>
      <c r="F25" s="28" t="s">
        <v>24</v>
      </c>
      <c r="G25" s="28" t="s">
        <v>26</v>
      </c>
      <c r="H25" s="30" t="s">
        <v>27</v>
      </c>
    </row>
    <row r="26" spans="1:8" ht="36" customHeight="1">
      <c r="A26" s="24">
        <v>24</v>
      </c>
      <c r="B26" s="28" t="s">
        <v>49</v>
      </c>
      <c r="C26" s="28" t="s">
        <v>50</v>
      </c>
      <c r="D26" s="29">
        <v>0.00138888888888889</v>
      </c>
      <c r="E26" s="28" t="s">
        <v>51</v>
      </c>
      <c r="F26" s="28" t="s">
        <v>24</v>
      </c>
      <c r="G26" s="28" t="s">
        <v>26</v>
      </c>
      <c r="H26" s="30" t="s">
        <v>27</v>
      </c>
    </row>
    <row r="27" spans="1:8" ht="36" customHeight="1">
      <c r="A27" s="24">
        <v>25</v>
      </c>
      <c r="B27" s="28" t="s">
        <v>52</v>
      </c>
      <c r="C27" s="28" t="s">
        <v>53</v>
      </c>
      <c r="D27" s="29">
        <v>0.00173611111111111</v>
      </c>
      <c r="E27" s="28" t="s">
        <v>54</v>
      </c>
      <c r="F27" s="28" t="s">
        <v>24</v>
      </c>
      <c r="G27" s="28" t="s">
        <v>26</v>
      </c>
      <c r="H27" s="30" t="s">
        <v>27</v>
      </c>
    </row>
    <row r="28" spans="1:8" ht="36" customHeight="1">
      <c r="A28" s="24">
        <v>26</v>
      </c>
      <c r="B28" s="28" t="s">
        <v>55</v>
      </c>
      <c r="C28" s="28" t="s">
        <v>56</v>
      </c>
      <c r="D28" s="29">
        <v>0.00208333333333333</v>
      </c>
      <c r="E28" s="28" t="s">
        <v>57</v>
      </c>
      <c r="F28" s="28" t="s">
        <v>24</v>
      </c>
      <c r="G28" s="28" t="s">
        <v>26</v>
      </c>
      <c r="H28" s="30" t="s">
        <v>27</v>
      </c>
    </row>
    <row r="29" spans="1:8" ht="36" customHeight="1">
      <c r="A29" s="24">
        <v>27</v>
      </c>
      <c r="B29" s="28" t="s">
        <v>85</v>
      </c>
      <c r="C29" s="28" t="s">
        <v>86</v>
      </c>
      <c r="D29" s="29">
        <v>0.00416666666666667</v>
      </c>
      <c r="E29" s="28" t="s">
        <v>88</v>
      </c>
      <c r="F29" s="28" t="s">
        <v>87</v>
      </c>
      <c r="G29" s="28" t="s">
        <v>89</v>
      </c>
      <c r="H29" s="30" t="s">
        <v>90</v>
      </c>
    </row>
    <row r="30" spans="1:8" ht="36" customHeight="1">
      <c r="A30" s="31" t="s"/>
      <c r="B30" s="32" t="s">
        <v>99</v>
      </c>
      <c r="C30" s="31" t="s"/>
      <c r="D30" s="33">
        <f>=SUM(D3)</f>
      </c>
      <c r="E30" s="31" t="s"/>
      <c r="F30" s="31" t="s"/>
      <c r="G30" s="31" t="s"/>
      <c r="H30" s="31" t="s"/>
    </row>
    <row r="31" spans="1:8" ht="36" customHeight="1">
      <c r="A31" s="31" t="s"/>
      <c r="B31" s="32" t="s">
        <v>100</v>
      </c>
      <c r="C31" s="31" t="s"/>
      <c r="D31" s="33">
        <f>=SUM(D4:D8)</f>
      </c>
      <c r="E31" s="31" t="s"/>
      <c r="F31" s="31" t="s"/>
      <c r="G31" s="31" t="s"/>
      <c r="H31" s="31" t="s"/>
    </row>
    <row r="32" spans="1:8" ht="36" customHeight="1">
      <c r="A32" s="31" t="s"/>
      <c r="B32" s="32" t="s">
        <v>101</v>
      </c>
      <c r="C32" s="31" t="s"/>
      <c r="D32" s="33">
        <f>=SUM(D9:D12)</f>
      </c>
      <c r="E32" s="31" t="s"/>
      <c r="F32" s="31" t="s"/>
      <c r="G32" s="31" t="s"/>
      <c r="H32" s="31" t="s"/>
    </row>
    <row r="33" spans="1:8" ht="36" customHeight="1">
      <c r="A33" s="31" t="s"/>
      <c r="B33" s="32" t="s">
        <v>102</v>
      </c>
      <c r="C33" s="31" t="s"/>
      <c r="D33" s="33">
        <f>=SUM(D13:D17)</f>
      </c>
      <c r="E33" s="31" t="s"/>
      <c r="F33" s="31" t="s"/>
      <c r="G33" s="31" t="s"/>
      <c r="H33" s="31" t="s"/>
    </row>
    <row r="34" spans="1:8" ht="36" customHeight="1">
      <c r="A34" s="31" t="s"/>
      <c r="B34" s="32" t="s">
        <v>103</v>
      </c>
      <c r="C34" s="31" t="s"/>
      <c r="D34" s="33">
        <f>=SUM(D18:D28)</f>
      </c>
      <c r="E34" s="31" t="s"/>
      <c r="F34" s="31" t="s"/>
      <c r="G34" s="31" t="s"/>
      <c r="H34" s="31" t="s"/>
    </row>
    <row r="35" spans="1:8" ht="36" customHeight="1">
      <c r="A35" s="31" t="s"/>
      <c r="B35" s="32" t="s">
        <v>104</v>
      </c>
      <c r="C35" s="31" t="s"/>
      <c r="D35" s="33">
        <f>=SUM(D29)</f>
      </c>
      <c r="E35" s="31" t="s"/>
      <c r="F35" s="31" t="s"/>
      <c r="G35" s="31" t="s"/>
      <c r="H35" s="31" t="s"/>
    </row>
    <row r="36" spans="1:8" ht="36" customHeight="1">
      <c r="A36" s="34" t="s"/>
      <c r="B36" s="35" t="s">
        <v>105</v>
      </c>
      <c r="C36" s="34" t="s"/>
      <c r="D36" s="36">
        <f>=SUM(D30,D31,D32,D33,D34,D35)</f>
      </c>
      <c r="E36" s="34" t="s"/>
      <c r="F36" s="34" t="s"/>
      <c r="G36" s="34" t="s"/>
      <c r="H36" s="34" t="s"/>
    </row>
    <row r="37" spans="1:26" ht="36" customHeight="1"/>
    <row r="38" spans="1:26" ht="36" customHeight="1"/>
    <row r="39" spans="1:26" ht="36" customHeight="1"/>
    <row r="40" spans="1:26" ht="36" customHeight="1"/>
    <row r="41" spans="1:26" ht="36" customHeight="1"/>
    <row r="42" spans="1:26" ht="36" customHeight="1"/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sheetPr/>
  <dimension ref="A1"/>
  <sheetViews>
    <sheetView showGridLines="1" workbookViewId="0"/>
  </sheetViews>
  <sheetFormatPr baseColWidth="8" defaultRowHeight="13.5"/>
  <sheetData/>
  <pageMargins left="0.75" right="0.75" top="1" bottom="1" header="0.5" footer="0.5"/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2026-09-13T21:55:16Z</dcterms:created>
  <dcterms:modified xsi:type="dcterms:W3CDTF">2026-09-13T21:55:16Z</dcterms:modified>
</cp:coreProperties>
</file>